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POR SEGURADORA" sheetId="2" r:id="rId2"/>
    <sheet name="POR RAMO" sheetId="3" r:id="rId3"/>
    <sheet name="POR VENDEDOR" sheetId="4" r:id="rId4"/>
  </sheets>
  <calcPr calcId="124519" fullCalcOnLoad="1"/>
</workbook>
</file>

<file path=xl/sharedStrings.xml><?xml version="1.0" encoding="utf-8"?>
<sst xmlns="http://schemas.openxmlformats.org/spreadsheetml/2006/main" count="269" uniqueCount="141">
  <si>
    <t>AJ7 CORRETORA DE SEGUROS</t>
  </si>
  <si>
    <t>DASHBOARD DE VENDAS</t>
  </si>
  <si>
    <t>INDICADORES DO PERIODO</t>
  </si>
  <si>
    <t>APOLICES</t>
  </si>
  <si>
    <t>+16.4%</t>
  </si>
  <si>
    <t>PREMIO LIQ.</t>
  </si>
  <si>
    <t>-21.2%</t>
  </si>
  <si>
    <t>COMISSAO</t>
  </si>
  <si>
    <t>+20.3%</t>
  </si>
  <si>
    <t>ITENS</t>
  </si>
  <si>
    <t>-2.3%</t>
  </si>
  <si>
    <t>Seguradora</t>
  </si>
  <si>
    <t>Premio Atual</t>
  </si>
  <si>
    <t>Premio Anterior</t>
  </si>
  <si>
    <t>PORTO SEGURO CIA DE SEGUROS ...</t>
  </si>
  <si>
    <t>AZUL COMPANHIA DE SEGUROS GE...</t>
  </si>
  <si>
    <t>ALLIANZ SEGUROS S.A.</t>
  </si>
  <si>
    <t>HDI SEGUROS S.A.</t>
  </si>
  <si>
    <t>MAPFRE SEGUROS GERAIS S/A</t>
  </si>
  <si>
    <t>SUHAI SEGUROS S.A.</t>
  </si>
  <si>
    <t>TOKIO MARINE SEGURADORA S.A.</t>
  </si>
  <si>
    <t>YELUM SEGUROS</t>
  </si>
  <si>
    <t>Ramo</t>
  </si>
  <si>
    <t>Premio</t>
  </si>
  <si>
    <t>CONSÓRCIO</t>
  </si>
  <si>
    <t>AUTOMOVEL</t>
  </si>
  <si>
    <t>FIANÇA LOCATÍCIA</t>
  </si>
  <si>
    <t>SEGURO VIAGEM</t>
  </si>
  <si>
    <t>EMPRESA</t>
  </si>
  <si>
    <t>RESIDÊNCIA</t>
  </si>
  <si>
    <t>RISCOS DIVERSOS</t>
  </si>
  <si>
    <t>VIDA INDIVIDUAL</t>
  </si>
  <si>
    <t>IMOBILIÁRIO</t>
  </si>
  <si>
    <t>ACIDENTES PESSOAIS</t>
  </si>
  <si>
    <t>FINANCIAMENTO</t>
  </si>
  <si>
    <t>Vendedor</t>
  </si>
  <si>
    <t>Comissao</t>
  </si>
  <si>
    <t>SUELEN ALENCAR</t>
  </si>
  <si>
    <t>MICHELLE  GARCEZ</t>
  </si>
  <si>
    <t>MAKELLY DORNELLIS</t>
  </si>
  <si>
    <t>THAIS GALANTE</t>
  </si>
  <si>
    <t xml:space="preserve">JENIFER AZEVEDO </t>
  </si>
  <si>
    <t>Apolices</t>
  </si>
  <si>
    <t>Itens</t>
  </si>
  <si>
    <t>AJ7 Corretora de Seguros  |  Dashboard Gerado Automaticamente</t>
  </si>
  <si>
    <t>AJ7 CORRETORA - DESEMPENHO POR SEGURADORA</t>
  </si>
  <si>
    <t>NOME</t>
  </si>
  <si>
    <t>APOL. ANT.</t>
  </si>
  <si>
    <t>VAR. APOL.</t>
  </si>
  <si>
    <t>PREMIO LIQUIDO</t>
  </si>
  <si>
    <t>PREMIO ANT.</t>
  </si>
  <si>
    <t>VAR. PREMIO</t>
  </si>
  <si>
    <t>COMISSAO ANT.</t>
  </si>
  <si>
    <t>VAR. COMISSAO</t>
  </si>
  <si>
    <t>MIX %</t>
  </si>
  <si>
    <t>PORTO SEGURO CIA DE SEGUROS GERAIS</t>
  </si>
  <si>
    <t>-6.25%</t>
  </si>
  <si>
    <t>10.96%</t>
  </si>
  <si>
    <t>18.75%</t>
  </si>
  <si>
    <t>AZUL COMPANHIA DE SEGUROS GERAIS</t>
  </si>
  <si>
    <t>64.29%</t>
  </si>
  <si>
    <t>90.24%</t>
  </si>
  <si>
    <t>86.80%</t>
  </si>
  <si>
    <t>20.00%</t>
  </si>
  <si>
    <t>-20.72%</t>
  </si>
  <si>
    <t>-22.91%</t>
  </si>
  <si>
    <t>11.11%</t>
  </si>
  <si>
    <t>4.54%</t>
  </si>
  <si>
    <t>3.52%</t>
  </si>
  <si>
    <t>100.00%</t>
  </si>
  <si>
    <t>172.42%</t>
  </si>
  <si>
    <t>156.13%</t>
  </si>
  <si>
    <t>28.57%</t>
  </si>
  <si>
    <t>14.14%</t>
  </si>
  <si>
    <t>11.63%</t>
  </si>
  <si>
    <t>200.00%</t>
  </si>
  <si>
    <t>68.46%</t>
  </si>
  <si>
    <t>65.05%</t>
  </si>
  <si>
    <t>-57.14%</t>
  </si>
  <si>
    <t>-70.80%</t>
  </si>
  <si>
    <t>-67.07%</t>
  </si>
  <si>
    <t>ALIRO SEGUROS S.A.</t>
  </si>
  <si>
    <t>0.00%</t>
  </si>
  <si>
    <t>120.32%</t>
  </si>
  <si>
    <t>226.19%</t>
  </si>
  <si>
    <t>BRADESCO SEGUROS S.A</t>
  </si>
  <si>
    <t>-50.00%</t>
  </si>
  <si>
    <t>-78.94%</t>
  </si>
  <si>
    <t>-60.64%</t>
  </si>
  <si>
    <t>ZURICH MINAS BRASIL SEGUROS S/A</t>
  </si>
  <si>
    <t>-39.62%</t>
  </si>
  <si>
    <t>2.65%</t>
  </si>
  <si>
    <t>DARWIN SEGUROS  S.A</t>
  </si>
  <si>
    <t>ITAU SEGUROS S/A</t>
  </si>
  <si>
    <t>-61.95%</t>
  </si>
  <si>
    <t>-37.99%</t>
  </si>
  <si>
    <t>PORTOSEG SA – CREDITO, FINANCIAMENTO E INVESTIMENTO</t>
  </si>
  <si>
    <t>ITAU SEGUROS DE AUTO E RESIDÊNCIA S/A</t>
  </si>
  <si>
    <t>MITSUI SUMITOMO SEGUROS S/A</t>
  </si>
  <si>
    <t>-100.00%</t>
  </si>
  <si>
    <t>XL SEGUROS BRASIL S.A.</t>
  </si>
  <si>
    <t>TOTAL</t>
  </si>
  <si>
    <t>16.36%</t>
  </si>
  <si>
    <t>-21.23%</t>
  </si>
  <si>
    <t>20.33%</t>
  </si>
  <si>
    <t>AJ7 CORRETORA - DESEMPENHO POR RAMO</t>
  </si>
  <si>
    <t>11.03%</t>
  </si>
  <si>
    <t>85.50%</t>
  </si>
  <si>
    <t>35.53%</t>
  </si>
  <si>
    <t>18.70%</t>
  </si>
  <si>
    <t>31.96%</t>
  </si>
  <si>
    <t>9.97%</t>
  </si>
  <si>
    <t>37.50%</t>
  </si>
  <si>
    <t>41.45%</t>
  </si>
  <si>
    <t>60.14%</t>
  </si>
  <si>
    <t>-15.20%</t>
  </si>
  <si>
    <t>-18.80%</t>
  </si>
  <si>
    <t>66.67%</t>
  </si>
  <si>
    <t>83.43%</t>
  </si>
  <si>
    <t>39.97%</t>
  </si>
  <si>
    <t>-85.71%</t>
  </si>
  <si>
    <t>-86.70%</t>
  </si>
  <si>
    <t>-96.20%</t>
  </si>
  <si>
    <t>AJ7 CORRETORA - DESEMPENHO POR VENDEDOR</t>
  </si>
  <si>
    <t>400.00%</t>
  </si>
  <si>
    <t>41.63%</t>
  </si>
  <si>
    <t>113.31%</t>
  </si>
  <si>
    <t>75.61%</t>
  </si>
  <si>
    <t>56.59%</t>
  </si>
  <si>
    <t>46.21%</t>
  </si>
  <si>
    <t>-99.86%</t>
  </si>
  <si>
    <t>-90.52%</t>
  </si>
  <si>
    <t xml:space="preserve">ALESSANDRA </t>
  </si>
  <si>
    <t>-85.34%</t>
  </si>
  <si>
    <t>-102.85%</t>
  </si>
  <si>
    <t xml:space="preserve">DIEGO RAFAEL </t>
  </si>
  <si>
    <t>GABRIELLA (ANTIGO)</t>
  </si>
  <si>
    <t>THAIS</t>
  </si>
  <si>
    <t>JENIFER AZEVEDO</t>
  </si>
  <si>
    <t xml:space="preserve">LUIZ EUGÊNIO </t>
  </si>
  <si>
    <t xml:space="preserve">JUNIOR AZEVEDO </t>
  </si>
</sst>
</file>

<file path=xl/styles.xml><?xml version="1.0" encoding="utf-8"?>
<styleSheet xmlns="http://schemas.openxmlformats.org/spreadsheetml/2006/main">
  <numFmts count="2">
    <numFmt numFmtId="164" formatCode="R$ #,##0.00"/>
    <numFmt numFmtId="165" formatCode="0.00%"/>
  </numFmts>
  <fonts count="13">
    <font>
      <sz val="11"/>
      <color theme="1"/>
      <name val="Calibri"/>
      <family val="2"/>
      <scheme val="minor"/>
    </font>
    <font>
      <b/>
      <sz val="22"/>
      <color rgb="FFFFFFFF"/>
      <name val="Arial"/>
      <family val="2"/>
    </font>
    <font>
      <b/>
      <sz val="13"/>
      <color rgb="FFFFFFFF"/>
      <name val="Arial"/>
      <family val="2"/>
    </font>
    <font>
      <b/>
      <sz val="11"/>
      <color rgb="FF1B3A6B"/>
      <name val="Arial"/>
      <family val="2"/>
    </font>
    <font>
      <b/>
      <sz val="10"/>
      <color rgb="FFFFFFFF"/>
      <name val="Arial"/>
      <family val="2"/>
    </font>
    <font>
      <b/>
      <sz val="16"/>
      <color rgb="FF1B3A6B"/>
      <name val="Arial"/>
      <family val="2"/>
    </font>
    <font>
      <b/>
      <sz val="14"/>
      <color rgb="FF1B3A6B"/>
      <name val="Arial"/>
      <family val="2"/>
    </font>
    <font>
      <b/>
      <sz val="10"/>
      <color rgb="FF27AE60"/>
      <name val="Arial"/>
      <family val="2"/>
    </font>
    <font>
      <b/>
      <sz val="10"/>
      <color rgb="FFC0392B"/>
      <name val="Arial"/>
      <family val="2"/>
    </font>
    <font>
      <i/>
      <sz val="9"/>
      <color rgb="FF7F8C8D"/>
      <name val="Arial"/>
      <family val="2"/>
    </font>
    <font>
      <sz val="10"/>
      <color rgb="FF2C3E50"/>
      <name val="Arial"/>
      <family val="2"/>
    </font>
    <font>
      <sz val="10"/>
      <color rgb="FFC0392B"/>
      <name val="Arial"/>
      <family val="2"/>
    </font>
    <font>
      <sz val="10"/>
      <color rgb="FF27AE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0F3F7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2E6DA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Premio Liquido por Seguradora (R$)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Premio Atual</c:v>
          </c:tx>
          <c:spPr>
            <a:solidFill>
              <a:srgbClr val="2E6DA4"/>
            </a:solidFill>
          </c:spPr>
          <c:cat>
            <c:strRef>
              <c:f>DASHBOARD!$A$51:$A$58</c:f>
              <c:strCache>
                <c:ptCount val="8"/>
                <c:pt idx="0">
                  <c:v>PORTO SEGURO CIA DE SEGUROS ...</c:v>
                </c:pt>
                <c:pt idx="1">
                  <c:v>AZUL COMPANHIA DE SEGUROS GE...</c:v>
                </c:pt>
                <c:pt idx="2">
                  <c:v>ALLIANZ SEGUROS S.A.</c:v>
                </c:pt>
                <c:pt idx="3">
                  <c:v>HDI SEGUROS S.A.</c:v>
                </c:pt>
                <c:pt idx="4">
                  <c:v>MAPFRE SEGUROS GERAIS S/A</c:v>
                </c:pt>
                <c:pt idx="5">
                  <c:v>SUHAI SEGUROS S.A.</c:v>
                </c:pt>
                <c:pt idx="6">
                  <c:v>TOKIO MARINE SEGURADORA S.A.</c:v>
                </c:pt>
                <c:pt idx="7">
                  <c:v>YELUM SEGUROS</c:v>
                </c:pt>
              </c:strCache>
            </c:strRef>
          </c:cat>
          <c:val>
            <c:numRef>
              <c:f>DASHBOARD!$B$51:$B$58</c:f>
              <c:numCache>
                <c:formatCode>General</c:formatCode>
                <c:ptCount val="8"/>
                <c:pt idx="0">
                  <c:v>1134447.11</c:v>
                </c:pt>
                <c:pt idx="1">
                  <c:v>103880.29</c:v>
                </c:pt>
                <c:pt idx="2">
                  <c:v>27360.43</c:v>
                </c:pt>
                <c:pt idx="3">
                  <c:v>21635.5</c:v>
                </c:pt>
                <c:pt idx="4">
                  <c:v>15745.94</c:v>
                </c:pt>
                <c:pt idx="5">
                  <c:v>0</c:v>
                </c:pt>
                <c:pt idx="6">
                  <c:v>11204.78</c:v>
                </c:pt>
                <c:pt idx="7">
                  <c:v>5386.84</c:v>
                </c:pt>
              </c:numCache>
            </c:numRef>
          </c:val>
        </c:ser>
        <c:ser>
          <c:idx val="1"/>
          <c:order val="1"/>
          <c:tx>
            <c:v>Premio Anterior</c:v>
          </c:tx>
          <c:spPr>
            <a:solidFill>
              <a:srgbClr val="BDC3C7"/>
            </a:solidFill>
          </c:spPr>
          <c:cat>
            <c:strRef>
              <c:f>DASHBOARD!$A$51:$A$58</c:f>
              <c:strCache>
                <c:ptCount val="8"/>
                <c:pt idx="0">
                  <c:v>PORTO SEGURO CIA DE SEGUROS ...</c:v>
                </c:pt>
                <c:pt idx="1">
                  <c:v>AZUL COMPANHIA DE SEGUROS GE...</c:v>
                </c:pt>
                <c:pt idx="2">
                  <c:v>ALLIANZ SEGUROS S.A.</c:v>
                </c:pt>
                <c:pt idx="3">
                  <c:v>HDI SEGUROS S.A.</c:v>
                </c:pt>
                <c:pt idx="4">
                  <c:v>MAPFRE SEGUROS GERAIS S/A</c:v>
                </c:pt>
                <c:pt idx="5">
                  <c:v>SUHAI SEGUROS S.A.</c:v>
                </c:pt>
                <c:pt idx="6">
                  <c:v>TOKIO MARINE SEGURADORA S.A.</c:v>
                </c:pt>
                <c:pt idx="7">
                  <c:v>YELUM SEGUROS</c:v>
                </c:pt>
              </c:strCache>
            </c:strRef>
          </c:cat>
          <c:val>
            <c:numRef>
              <c:f>DASHBOARD!$C$51:$C$58</c:f>
              <c:numCache>
                <c:formatCode>General</c:formatCode>
                <c:ptCount val="8"/>
                <c:pt idx="0">
                  <c:v>1022385.24</c:v>
                </c:pt>
                <c:pt idx="1">
                  <c:v>54605.12</c:v>
                </c:pt>
                <c:pt idx="2">
                  <c:v>34509.04</c:v>
                </c:pt>
                <c:pt idx="3">
                  <c:v>20696</c:v>
                </c:pt>
                <c:pt idx="4">
                  <c:v>5779.96</c:v>
                </c:pt>
                <c:pt idx="5">
                  <c:v>0</c:v>
                </c:pt>
                <c:pt idx="6">
                  <c:v>6651.49</c:v>
                </c:pt>
                <c:pt idx="7">
                  <c:v>18445.26</c:v>
                </c:pt>
              </c:numCache>
            </c:numRef>
          </c:val>
        </c:ser>
        <c:gapWidth val="80"/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AFAFA"/>
        </a:solidFill>
      </c:spPr>
    </c:plotArea>
    <c:legend>
      <c:legendPos val="b"/>
      <c:layout/>
    </c:legend>
    <c:plotVisOnly val="1"/>
  </c:chart>
  <c:spPr>
    <a:solidFill>
      <a:srgbClr val="FFFFFF"/>
    </a:solidFill>
    <a:ln>
      <a:solidFill>
        <a:srgbClr val="BDC3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Distribuicao por Ramo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Premio por Ramo</c:v>
          </c:tx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CatName val="1"/>
            <c:showPercent val="1"/>
          </c:dLbls>
          <c:cat>
            <c:strRef>
              <c:f>DASHBOARD!$E$51:$E$61</c:f>
              <c:strCache>
                <c:ptCount val="11"/>
                <c:pt idx="0">
                  <c:v>CONSÓRCIO</c:v>
                </c:pt>
                <c:pt idx="1">
                  <c:v>AUTOMOVEL</c:v>
                </c:pt>
                <c:pt idx="2">
                  <c:v>FIANÇA LOCATÍCIA</c:v>
                </c:pt>
                <c:pt idx="3">
                  <c:v>SEGURO VIAGEM</c:v>
                </c:pt>
                <c:pt idx="4">
                  <c:v>EMPRESA</c:v>
                </c:pt>
                <c:pt idx="5">
                  <c:v/>
                </c:pt>
                <c:pt idx="6">
                  <c:v>RISCOS DIVERSOS</c:v>
                </c:pt>
                <c:pt idx="7">
                  <c:v>VIDA INDIVIDUAL</c:v>
                </c:pt>
                <c:pt idx="8">
                  <c:v>IMOBILIÁRIO</c:v>
                </c:pt>
                <c:pt idx="9">
                  <c:v>ACIDENTES PESSOAIS</c:v>
                </c:pt>
                <c:pt idx="10">
                  <c:v>FINANCIAMENTO</c:v>
                </c:pt>
              </c:strCache>
            </c:strRef>
          </c:cat>
          <c:val>
            <c:numRef>
              <c:f>DASHBOARD!$F$51:$F$61</c:f>
              <c:numCache>
                <c:formatCode>General</c:formatCode>
                <c:ptCount val="11"/>
                <c:pt idx="0">
                  <c:v>1088051.63</c:v>
                </c:pt>
                <c:pt idx="1">
                  <c:v>235704.63</c:v>
                </c:pt>
                <c:pt idx="2">
                  <c:v>6729.13</c:v>
                </c:pt>
                <c:pt idx="3">
                  <c:v>5753.65</c:v>
                </c:pt>
                <c:pt idx="4">
                  <c:v>3528.92</c:v>
                </c:pt>
                <c:pt idx="5">
                  <c:v>0</c:v>
                </c:pt>
                <c:pt idx="6">
                  <c:v>2266.3</c:v>
                </c:pt>
                <c:pt idx="7">
                  <c:v>169.86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BDC3C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Comissao por Vendedor (R$)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Comissao Gerada</c:v>
          </c:tx>
          <c:spPr>
            <a:solidFill>
              <a:srgbClr val="27AE60"/>
            </a:solidFill>
          </c:spPr>
          <c:cat>
            <c:strRef>
              <c:f>DASHBOARD!$I$51:$I$56</c:f>
              <c:strCache>
                <c:ptCount val="6"/>
                <c:pt idx="0">
                  <c:v>SUELEN ALENCAR</c:v>
                </c:pt>
                <c:pt idx="1">
                  <c:v>MICHELLE  GARCEZ</c:v>
                </c:pt>
                <c:pt idx="2">
                  <c:v>AJ7 CORRETORA DE SEGUROS</c:v>
                </c:pt>
                <c:pt idx="3">
                  <c:v>MAKELLY DORNELLIS</c:v>
                </c:pt>
                <c:pt idx="4">
                  <c:v>THAIS GALANTE</c:v>
                </c:pt>
                <c:pt idx="5">
                  <c:v/>
                </c:pt>
              </c:strCache>
            </c:strRef>
          </c:cat>
          <c:val>
            <c:numRef>
              <c:f>DASHBOARD!$J$51:$J$56</c:f>
              <c:numCache>
                <c:formatCode>General</c:formatCode>
                <c:ptCount val="6"/>
                <c:pt idx="0">
                  <c:v>30544.25748</c:v>
                </c:pt>
                <c:pt idx="1">
                  <c:v>10169.0637</c:v>
                </c:pt>
                <c:pt idx="2">
                  <c:v>6764.571225</c:v>
                </c:pt>
                <c:pt idx="3">
                  <c:v>5499.7195</c:v>
                </c:pt>
                <c:pt idx="4">
                  <c:v>3802.8226</c:v>
                </c:pt>
                <c:pt idx="5">
                  <c:v>0</c:v>
                </c:pt>
              </c:numCache>
            </c:numRef>
          </c:val>
        </c:ser>
        <c:gapWidth val="80"/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AFAFA"/>
        </a:solidFill>
      </c:spPr>
    </c:plotArea>
    <c:plotVisOnly val="1"/>
  </c:chart>
  <c:spPr>
    <a:solidFill>
      <a:srgbClr val="FFFFFF"/>
    </a:solidFill>
    <a:ln>
      <a:solidFill>
        <a:srgbClr val="BDC3C7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Apolices e Itens por Vendedor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Apolices</c:v>
          </c:tx>
          <c:spPr>
            <a:solidFill>
              <a:srgbClr val="F39C12"/>
            </a:solidFill>
          </c:spPr>
          <c:cat>
            <c:strRef>
              <c:f>DASHBOARD!$L$51:$L$56</c:f>
              <c:strCache>
                <c:ptCount val="6"/>
                <c:pt idx="0">
                  <c:v>SUELEN ALENCAR</c:v>
                </c:pt>
                <c:pt idx="1">
                  <c:v>MICHELLE  GARCEZ</c:v>
                </c:pt>
                <c:pt idx="2">
                  <c:v>AJ7 CORRETORA DE SEGUROS</c:v>
                </c:pt>
                <c:pt idx="3">
                  <c:v>MAKELLY DORNELLIS</c:v>
                </c:pt>
                <c:pt idx="4">
                  <c:v>THAIS GALANTE</c:v>
                </c:pt>
                <c:pt idx="5">
                  <c:v>JENIFER AZEVEDO </c:v>
                </c:pt>
              </c:strCache>
            </c:strRef>
          </c:cat>
          <c:val>
            <c:numRef>
              <c:f>DASHBOARD!$M$51:$M$56</c:f>
              <c:numCache>
                <c:formatCode>General</c:formatCode>
                <c:ptCount val="6"/>
                <c:pt idx="0">
                  <c:v>72</c:v>
                </c:pt>
                <c:pt idx="1">
                  <c:v>28</c:v>
                </c:pt>
                <c:pt idx="2">
                  <c:v>5</c:v>
                </c:pt>
                <c:pt idx="3">
                  <c:v>12</c:v>
                </c:pt>
                <c:pt idx="4">
                  <c:v>10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v>Itens</c:v>
          </c:tx>
          <c:spPr>
            <a:solidFill>
              <a:srgbClr val="8E44AD"/>
            </a:solidFill>
          </c:spPr>
          <c:cat>
            <c:strRef>
              <c:f>DASHBOARD!$L$51:$L$56</c:f>
              <c:strCache>
                <c:ptCount val="6"/>
                <c:pt idx="0">
                  <c:v>SUELEN ALENCAR</c:v>
                </c:pt>
                <c:pt idx="1">
                  <c:v>MICHELLE  GARCEZ</c:v>
                </c:pt>
                <c:pt idx="2">
                  <c:v>AJ7 CORRETORA DE SEGUROS</c:v>
                </c:pt>
                <c:pt idx="3">
                  <c:v>MAKELLY DORNELLIS</c:v>
                </c:pt>
                <c:pt idx="4">
                  <c:v>THAIS GALANTE</c:v>
                </c:pt>
                <c:pt idx="5">
                  <c:v>JENIFER AZEVEDO </c:v>
                </c:pt>
              </c:strCache>
            </c:strRef>
          </c:cat>
          <c:val>
            <c:numRef>
              <c:f>DASHBOARD!$N$51:$N$56</c:f>
              <c:numCache>
                <c:formatCode>General</c:formatCode>
                <c:ptCount val="6"/>
                <c:pt idx="0">
                  <c:v>57</c:v>
                </c:pt>
                <c:pt idx="1">
                  <c:v>31</c:v>
                </c:pt>
                <c:pt idx="2">
                  <c:v>2</c:v>
                </c:pt>
                <c:pt idx="3">
                  <c:v>7</c:v>
                </c:pt>
                <c:pt idx="4">
                  <c:v>15</c:v>
                </c:pt>
                <c:pt idx="5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solidFill>
        <a:srgbClr val="BDC3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714375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9</xdr:col>
      <xdr:colOff>542925</xdr:colOff>
      <xdr:row>28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6</xdr:col>
      <xdr:colOff>714375</xdr:colOff>
      <xdr:row>51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36</xdr:row>
      <xdr:rowOff>0</xdr:rowOff>
    </xdr:from>
    <xdr:to>
      <xdr:col>9</xdr:col>
      <xdr:colOff>542925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showGridLines="0" tabSelected="1" zoomScale="90" zoomScaleNormal="90" workbookViewId="0"/>
  </sheetViews>
  <sheetFormatPr defaultRowHeight="15"/>
  <cols>
    <col min="1" max="1" width="2.28515625" customWidth="1"/>
    <col min="2" max="2" width="2.7109375" customWidth="1"/>
    <col min="3" max="3" width="16.7109375" customWidth="1"/>
    <col min="4" max="7" width="14.7109375" customWidth="1"/>
    <col min="8" max="8" width="16.7109375" customWidth="1"/>
    <col min="9" max="10" width="14.7109375" customWidth="1"/>
    <col min="11" max="11" width="2.7109375" customWidth="1"/>
  </cols>
  <sheetData>
    <row r="1" spans="1:11" ht="6" customHeight="1">
      <c r="A1" s="1"/>
      <c r="K1" s="1"/>
    </row>
    <row r="2" spans="1:11" ht="42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spans="1:11" ht="6" customHeight="1">
      <c r="A3" s="1"/>
      <c r="K3" s="1"/>
    </row>
    <row r="4" spans="1:11" ht="20" customHeight="1">
      <c r="A4" s="1"/>
      <c r="B4" s="3" t="s">
        <v>1</v>
      </c>
      <c r="C4" s="3"/>
      <c r="D4" s="3"/>
      <c r="E4" s="3"/>
      <c r="F4" s="3"/>
      <c r="G4" s="3"/>
      <c r="H4" s="3"/>
      <c r="I4" s="3"/>
      <c r="J4" s="3"/>
      <c r="K4" s="1"/>
    </row>
    <row r="5" spans="1:11" ht="6" customHeight="1">
      <c r="A5" s="1"/>
      <c r="K5" s="1"/>
    </row>
    <row r="6" spans="1:11" ht="18" customHeight="1">
      <c r="A6" s="1"/>
      <c r="B6" s="4" t="s">
        <v>2</v>
      </c>
      <c r="C6" s="4"/>
      <c r="D6" s="4"/>
      <c r="E6" s="4"/>
      <c r="F6" s="4"/>
      <c r="G6" s="4"/>
      <c r="H6" s="4"/>
      <c r="I6" s="4"/>
      <c r="J6" s="4"/>
      <c r="K6" s="1"/>
    </row>
    <row r="7" spans="1:11" ht="6" customHeight="1">
      <c r="A7" s="1"/>
      <c r="K7" s="1"/>
    </row>
    <row r="8" spans="1:11" ht="20" customHeight="1">
      <c r="A8" s="1"/>
      <c r="B8" s="5" t="s">
        <v>3</v>
      </c>
      <c r="C8" s="5"/>
      <c r="D8" s="5" t="s">
        <v>5</v>
      </c>
      <c r="E8" s="5"/>
      <c r="F8" s="5" t="s">
        <v>7</v>
      </c>
      <c r="G8" s="5"/>
      <c r="H8" s="5" t="s">
        <v>9</v>
      </c>
      <c r="I8" s="5"/>
      <c r="K8" s="1"/>
    </row>
    <row r="9" spans="1:11" ht="34" customHeight="1">
      <c r="A9" s="1"/>
      <c r="B9" s="6">
        <v>128</v>
      </c>
      <c r="C9" s="6"/>
      <c r="D9" s="7">
        <v>1344858.82</v>
      </c>
      <c r="E9" s="7"/>
      <c r="F9" s="7">
        <v>56814.666105</v>
      </c>
      <c r="G9" s="7"/>
      <c r="H9" s="6">
        <v>128</v>
      </c>
      <c r="I9" s="6"/>
      <c r="K9" s="1"/>
    </row>
    <row r="10" spans="1:11" ht="22" customHeight="1">
      <c r="A10" s="1"/>
      <c r="B10" s="8" t="s">
        <v>4</v>
      </c>
      <c r="C10" s="8"/>
      <c r="D10" s="9" t="s">
        <v>6</v>
      </c>
      <c r="E10" s="9"/>
      <c r="F10" s="8" t="s">
        <v>8</v>
      </c>
      <c r="G10" s="8"/>
      <c r="H10" s="9" t="s">
        <v>10</v>
      </c>
      <c r="I10" s="9"/>
      <c r="K10" s="1"/>
    </row>
    <row r="11" spans="1:11" ht="6" customHeight="1">
      <c r="A11" s="1"/>
      <c r="K11" s="1"/>
    </row>
    <row r="12" spans="1:11">
      <c r="A12" s="1"/>
      <c r="K12" s="1"/>
    </row>
    <row r="13" spans="1:11">
      <c r="A13" s="1"/>
      <c r="K13" s="1"/>
    </row>
    <row r="14" spans="1:11">
      <c r="A14" s="1"/>
      <c r="K14" s="1"/>
    </row>
    <row r="15" spans="1:11">
      <c r="A15" s="1"/>
      <c r="K15" s="1"/>
    </row>
    <row r="16" spans="1:11">
      <c r="A16" s="1"/>
      <c r="K16" s="1"/>
    </row>
    <row r="17" spans="1:11">
      <c r="A17" s="1"/>
      <c r="K17" s="1"/>
    </row>
    <row r="18" spans="1:11">
      <c r="A18" s="1"/>
      <c r="K18" s="1"/>
    </row>
    <row r="19" spans="1:11">
      <c r="A19" s="1"/>
      <c r="K19" s="1"/>
    </row>
    <row r="20" spans="1:11">
      <c r="A20" s="1"/>
      <c r="K20" s="1"/>
    </row>
    <row r="21" spans="1:11">
      <c r="A21" s="1"/>
      <c r="K21" s="1"/>
    </row>
    <row r="22" spans="1:11">
      <c r="A22" s="1"/>
      <c r="K22" s="1"/>
    </row>
    <row r="23" spans="1:11">
      <c r="A23" s="1"/>
      <c r="K23" s="1"/>
    </row>
    <row r="24" spans="1:11">
      <c r="A24" s="1"/>
      <c r="K24" s="1"/>
    </row>
    <row r="25" spans="1:11">
      <c r="A25" s="1"/>
      <c r="K25" s="1"/>
    </row>
    <row r="26" spans="1:11">
      <c r="A26" s="1"/>
      <c r="K26" s="1"/>
    </row>
    <row r="27" spans="1:11">
      <c r="A27" s="1"/>
      <c r="K27" s="1"/>
    </row>
    <row r="28" spans="1:11">
      <c r="A28" s="1"/>
      <c r="K28" s="1"/>
    </row>
    <row r="29" spans="1:11">
      <c r="A29" s="1"/>
      <c r="K29" s="1"/>
    </row>
    <row r="30" spans="1:11">
      <c r="A30" s="1"/>
      <c r="K30" s="1"/>
    </row>
    <row r="31" spans="1:11">
      <c r="A31" s="1"/>
      <c r="K31" s="1"/>
    </row>
    <row r="32" spans="1:11">
      <c r="A32" s="1"/>
      <c r="K32" s="1"/>
    </row>
    <row r="33" spans="1:11">
      <c r="A33" s="1"/>
      <c r="K33" s="1"/>
    </row>
    <row r="34" spans="1:11">
      <c r="A34" s="1"/>
      <c r="K34" s="1"/>
    </row>
    <row r="35" spans="1:11">
      <c r="A35" s="1"/>
      <c r="K35" s="1"/>
    </row>
    <row r="36" spans="1:11">
      <c r="A36" s="1"/>
      <c r="K36" s="1"/>
    </row>
    <row r="37" spans="1:11">
      <c r="A37" s="1"/>
      <c r="K37" s="1"/>
    </row>
    <row r="38" spans="1:11">
      <c r="A38" s="1"/>
      <c r="K38" s="1"/>
    </row>
    <row r="39" spans="1:11">
      <c r="A39" s="1"/>
      <c r="K39" s="1"/>
    </row>
    <row r="40" spans="1:11">
      <c r="A40" s="1"/>
      <c r="K40" s="1"/>
    </row>
    <row r="41" spans="1:11">
      <c r="A41" s="1"/>
      <c r="K41" s="1"/>
    </row>
    <row r="42" spans="1:11">
      <c r="A42" s="1"/>
      <c r="K42" s="1"/>
    </row>
    <row r="43" spans="1:11">
      <c r="A43" s="1"/>
      <c r="K43" s="1"/>
    </row>
    <row r="44" spans="1:11">
      <c r="A44" s="1"/>
      <c r="K44" s="1"/>
    </row>
    <row r="45" spans="1:11">
      <c r="A45" s="1"/>
      <c r="K45" s="1"/>
    </row>
    <row r="46" spans="1:11">
      <c r="A46" s="1"/>
      <c r="K46" s="1"/>
    </row>
    <row r="47" spans="1:11">
      <c r="A47" s="1"/>
      <c r="K47" s="1"/>
    </row>
    <row r="48" spans="1:11">
      <c r="A48" s="1"/>
      <c r="K48" s="1"/>
    </row>
    <row r="49" spans="1:14">
      <c r="A49" s="1"/>
      <c r="K49" s="1"/>
    </row>
    <row r="50" spans="1:14">
      <c r="A50" t="s">
        <v>11</v>
      </c>
      <c r="B50" t="s">
        <v>12</v>
      </c>
      <c r="C50" t="s">
        <v>13</v>
      </c>
      <c r="E50" t="s">
        <v>22</v>
      </c>
      <c r="F50" t="s">
        <v>23</v>
      </c>
      <c r="G50" t="s">
        <v>13</v>
      </c>
      <c r="I50" t="s">
        <v>35</v>
      </c>
      <c r="J50" t="s">
        <v>36</v>
      </c>
      <c r="K50" s="1"/>
      <c r="L50" t="s">
        <v>35</v>
      </c>
      <c r="M50" t="s">
        <v>42</v>
      </c>
      <c r="N50" t="s">
        <v>43</v>
      </c>
    </row>
    <row r="51" spans="1:14">
      <c r="A51" t="s">
        <v>14</v>
      </c>
      <c r="B51">
        <v>1134447.11</v>
      </c>
      <c r="C51">
        <v>1022385.24</v>
      </c>
      <c r="E51" t="s">
        <v>24</v>
      </c>
      <c r="F51">
        <v>1088051.63</v>
      </c>
      <c r="G51">
        <v>979956.84</v>
      </c>
      <c r="I51" t="s">
        <v>37</v>
      </c>
      <c r="J51">
        <v>30544.25748</v>
      </c>
      <c r="K51" s="1"/>
      <c r="L51" t="s">
        <v>37</v>
      </c>
      <c r="M51">
        <v>72</v>
      </c>
      <c r="N51">
        <v>57</v>
      </c>
    </row>
    <row r="52" spans="1:14">
      <c r="A52" t="s">
        <v>15</v>
      </c>
      <c r="B52">
        <v>103880.29</v>
      </c>
      <c r="C52">
        <v>54605.12</v>
      </c>
      <c r="E52" t="s">
        <v>25</v>
      </c>
      <c r="F52">
        <v>235704.63</v>
      </c>
      <c r="G52">
        <v>198577.8</v>
      </c>
      <c r="I52" t="s">
        <v>38</v>
      </c>
      <c r="J52">
        <v>10169.0637</v>
      </c>
      <c r="K52" s="1"/>
      <c r="L52" t="s">
        <v>38</v>
      </c>
      <c r="M52">
        <v>28</v>
      </c>
      <c r="N52">
        <v>31</v>
      </c>
    </row>
    <row r="53" spans="1:14">
      <c r="A53" t="s">
        <v>16</v>
      </c>
      <c r="B53">
        <v>27360.43</v>
      </c>
      <c r="C53">
        <v>34509.04</v>
      </c>
      <c r="E53" t="s">
        <v>26</v>
      </c>
      <c r="F53">
        <v>6729.13</v>
      </c>
      <c r="G53">
        <v>5099.3</v>
      </c>
      <c r="I53" t="s">
        <v>0</v>
      </c>
      <c r="J53">
        <v>6764.571225</v>
      </c>
      <c r="K53" s="1"/>
      <c r="L53" t="s">
        <v>0</v>
      </c>
      <c r="M53">
        <v>5</v>
      </c>
      <c r="N53">
        <v>2</v>
      </c>
    </row>
    <row r="54" spans="1:14">
      <c r="A54" t="s">
        <v>17</v>
      </c>
      <c r="B54">
        <v>21635.5</v>
      </c>
      <c r="C54">
        <v>20696</v>
      </c>
      <c r="E54" t="s">
        <v>27</v>
      </c>
      <c r="F54">
        <v>5753.65</v>
      </c>
      <c r="G54">
        <v>4067.7</v>
      </c>
      <c r="I54" t="s">
        <v>39</v>
      </c>
      <c r="J54">
        <v>5499.7195</v>
      </c>
      <c r="K54" s="1"/>
      <c r="L54" t="s">
        <v>39</v>
      </c>
      <c r="M54">
        <v>12</v>
      </c>
      <c r="N54">
        <v>7</v>
      </c>
    </row>
    <row r="55" spans="1:14">
      <c r="A55" t="s">
        <v>18</v>
      </c>
      <c r="B55">
        <v>15745.94</v>
      </c>
      <c r="C55">
        <v>5779.96</v>
      </c>
      <c r="E55" t="s">
        <v>28</v>
      </c>
      <c r="F55">
        <v>3528.92</v>
      </c>
      <c r="G55">
        <v>4161.7</v>
      </c>
      <c r="I55" t="s">
        <v>40</v>
      </c>
      <c r="J55">
        <v>3802.8226</v>
      </c>
      <c r="K55" s="1"/>
      <c r="L55" t="s">
        <v>40</v>
      </c>
      <c r="M55">
        <v>10</v>
      </c>
      <c r="N55">
        <v>15</v>
      </c>
    </row>
    <row r="56" spans="1:14" ht="18" customHeight="1">
      <c r="A56" t="s">
        <v>19</v>
      </c>
      <c r="B56" s="10" t="s">
        <v>44</v>
      </c>
      <c r="C56" s="10"/>
      <c r="D56" s="10"/>
      <c r="E56" s="10"/>
      <c r="F56" s="10"/>
      <c r="G56" s="10"/>
      <c r="H56" s="10"/>
      <c r="I56" s="10"/>
      <c r="J56" s="10"/>
      <c r="K56" s="1"/>
      <c r="L56" t="s">
        <v>41</v>
      </c>
      <c r="M56">
        <v>1</v>
      </c>
      <c r="N56">
        <v>1</v>
      </c>
    </row>
    <row r="57" spans="1:14">
      <c r="A57" t="s">
        <v>20</v>
      </c>
      <c r="B57">
        <v>11204.78</v>
      </c>
      <c r="C57">
        <v>6651.49</v>
      </c>
      <c r="E57" t="s">
        <v>30</v>
      </c>
      <c r="F57">
        <v>2266.3</v>
      </c>
      <c r="G57">
        <v>0</v>
      </c>
      <c r="K57" s="1"/>
    </row>
    <row r="58" spans="1:14">
      <c r="A58" t="s">
        <v>21</v>
      </c>
      <c r="B58">
        <v>5386.84</v>
      </c>
      <c r="C58">
        <v>18445.26</v>
      </c>
      <c r="E58" t="s">
        <v>31</v>
      </c>
      <c r="F58">
        <v>169.86</v>
      </c>
      <c r="G58">
        <v>1276.68</v>
      </c>
      <c r="K58" s="1"/>
    </row>
    <row r="59" spans="1:14">
      <c r="A59" s="1"/>
      <c r="E59" t="s">
        <v>32</v>
      </c>
      <c r="F59">
        <v>0</v>
      </c>
      <c r="G59">
        <v>632.8</v>
      </c>
      <c r="K59" s="1"/>
    </row>
    <row r="60" spans="1:14">
      <c r="A60" s="1"/>
      <c r="E60" t="s">
        <v>33</v>
      </c>
      <c r="F60">
        <v>0</v>
      </c>
      <c r="G60">
        <v>387.06</v>
      </c>
      <c r="K60" s="1"/>
    </row>
    <row r="61" spans="1:14">
      <c r="E61" t="s">
        <v>34</v>
      </c>
      <c r="F61">
        <v>0</v>
      </c>
      <c r="G61">
        <v>511808.28</v>
      </c>
    </row>
  </sheetData>
  <mergeCells count="16">
    <mergeCell ref="B2:J2"/>
    <mergeCell ref="B4:J4"/>
    <mergeCell ref="B6:J6"/>
    <mergeCell ref="B8:C8"/>
    <mergeCell ref="B9:C9"/>
    <mergeCell ref="B10:C10"/>
    <mergeCell ref="D8:E8"/>
    <mergeCell ref="D9:E9"/>
    <mergeCell ref="D10:E10"/>
    <mergeCell ref="F8:G8"/>
    <mergeCell ref="F9:G9"/>
    <mergeCell ref="F10:G10"/>
    <mergeCell ref="H8:I8"/>
    <mergeCell ref="H9:I9"/>
    <mergeCell ref="H10:I10"/>
    <mergeCell ref="B56:J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showGridLines="0" zoomScale="90" zoomScaleNormal="90" workbookViewId="0"/>
  </sheetViews>
  <sheetFormatPr defaultRowHeight="15"/>
  <cols>
    <col min="1" max="1" width="32.7109375" customWidth="1"/>
    <col min="2" max="3" width="9.7109375" customWidth="1"/>
    <col min="4" max="4" width="10.7109375" customWidth="1"/>
    <col min="5" max="6" width="16.7109375" customWidth="1"/>
    <col min="7" max="7" width="11.7109375" customWidth="1"/>
    <col min="8" max="9" width="14.7109375" customWidth="1"/>
    <col min="10" max="10" width="13.7109375" customWidth="1"/>
    <col min="11" max="12" width="7.7109375" customWidth="1"/>
  </cols>
  <sheetData>
    <row r="1" spans="1:12" ht="6" customHeight="1"/>
    <row r="2" spans="1:12" ht="38" customHeight="1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6" customHeight="1"/>
    <row r="4" spans="1:12" ht="22" customHeight="1">
      <c r="A4" s="11" t="s">
        <v>46</v>
      </c>
      <c r="B4" s="12" t="s">
        <v>3</v>
      </c>
      <c r="C4" s="12" t="s">
        <v>47</v>
      </c>
      <c r="D4" s="12" t="s">
        <v>48</v>
      </c>
      <c r="E4" s="12" t="s">
        <v>49</v>
      </c>
      <c r="F4" s="12" t="s">
        <v>50</v>
      </c>
      <c r="G4" s="12" t="s">
        <v>51</v>
      </c>
      <c r="H4" s="12" t="s">
        <v>7</v>
      </c>
      <c r="I4" s="12" t="s">
        <v>52</v>
      </c>
      <c r="J4" s="12" t="s">
        <v>53</v>
      </c>
      <c r="K4" s="12" t="s">
        <v>9</v>
      </c>
      <c r="L4" s="12" t="s">
        <v>54</v>
      </c>
    </row>
    <row r="5" spans="1:12" ht="18" customHeight="1">
      <c r="A5" s="13" t="s">
        <v>55</v>
      </c>
      <c r="B5" s="14">
        <v>30</v>
      </c>
      <c r="C5" s="14">
        <v>32</v>
      </c>
      <c r="D5" s="15" t="s">
        <v>56</v>
      </c>
      <c r="E5" s="16">
        <v>1134447.11</v>
      </c>
      <c r="F5" s="16">
        <v>1022385.24</v>
      </c>
      <c r="G5" s="17" t="s">
        <v>57</v>
      </c>
      <c r="H5" s="16">
        <v>15781.910085</v>
      </c>
      <c r="I5" s="16">
        <v>13289.63084</v>
      </c>
      <c r="J5" s="17" t="s">
        <v>58</v>
      </c>
      <c r="K5" s="14">
        <v>30</v>
      </c>
      <c r="L5" s="18">
        <v>0.8332370124507</v>
      </c>
    </row>
    <row r="6" spans="1:12" ht="18" customHeight="1">
      <c r="A6" s="19" t="s">
        <v>59</v>
      </c>
      <c r="B6" s="20">
        <v>46</v>
      </c>
      <c r="C6" s="20">
        <v>28</v>
      </c>
      <c r="D6" s="21" t="s">
        <v>60</v>
      </c>
      <c r="E6" s="22">
        <v>103880.29</v>
      </c>
      <c r="F6" s="22">
        <v>54605.12</v>
      </c>
      <c r="G6" s="21" t="s">
        <v>61</v>
      </c>
      <c r="H6" s="22">
        <v>19958.35422</v>
      </c>
      <c r="I6" s="22">
        <v>10684.172086</v>
      </c>
      <c r="J6" s="21" t="s">
        <v>62</v>
      </c>
      <c r="K6" s="20">
        <v>43</v>
      </c>
      <c r="L6" s="23">
        <v>0.0817034177796781</v>
      </c>
    </row>
    <row r="7" spans="1:12" ht="18" customHeight="1">
      <c r="A7" s="13" t="s">
        <v>16</v>
      </c>
      <c r="B7" s="14">
        <v>12</v>
      </c>
      <c r="C7" s="14">
        <v>10</v>
      </c>
      <c r="D7" s="17" t="s">
        <v>63</v>
      </c>
      <c r="E7" s="16">
        <v>27360.43</v>
      </c>
      <c r="F7" s="16">
        <v>34509.04</v>
      </c>
      <c r="G7" s="15" t="s">
        <v>64</v>
      </c>
      <c r="H7" s="16">
        <v>5301.4774</v>
      </c>
      <c r="I7" s="16">
        <v>6876.891508</v>
      </c>
      <c r="J7" s="15" t="s">
        <v>65</v>
      </c>
      <c r="K7" s="14">
        <v>13</v>
      </c>
      <c r="L7" s="18">
        <v>0.0215342178476738</v>
      </c>
    </row>
    <row r="8" spans="1:12" ht="18" customHeight="1">
      <c r="A8" s="19" t="s">
        <v>17</v>
      </c>
      <c r="B8" s="20">
        <v>10</v>
      </c>
      <c r="C8" s="20">
        <v>9</v>
      </c>
      <c r="D8" s="21" t="s">
        <v>66</v>
      </c>
      <c r="E8" s="22">
        <v>21635.5</v>
      </c>
      <c r="F8" s="22">
        <v>20696</v>
      </c>
      <c r="G8" s="21" t="s">
        <v>67</v>
      </c>
      <c r="H8" s="22">
        <v>4738.4738</v>
      </c>
      <c r="I8" s="22">
        <v>4577.5527</v>
      </c>
      <c r="J8" s="21" t="s">
        <v>68</v>
      </c>
      <c r="K8" s="20">
        <v>10</v>
      </c>
      <c r="L8" s="23">
        <v>0.0170164874318424</v>
      </c>
    </row>
    <row r="9" spans="1:12" ht="18" customHeight="1">
      <c r="A9" s="13" t="s">
        <v>18</v>
      </c>
      <c r="B9" s="14">
        <v>4</v>
      </c>
      <c r="C9" s="14">
        <v>2</v>
      </c>
      <c r="D9" s="17" t="s">
        <v>69</v>
      </c>
      <c r="E9" s="16">
        <v>15745.94</v>
      </c>
      <c r="F9" s="16">
        <v>5779.96</v>
      </c>
      <c r="G9" s="17" t="s">
        <v>70</v>
      </c>
      <c r="H9" s="16">
        <v>2469.1437</v>
      </c>
      <c r="I9" s="16">
        <v>964.0038</v>
      </c>
      <c r="J9" s="17" t="s">
        <v>71</v>
      </c>
      <c r="K9" s="14">
        <v>4</v>
      </c>
      <c r="L9" s="18">
        <v>0.012384398094269</v>
      </c>
    </row>
    <row r="10" spans="1:12" ht="18" customHeight="1">
      <c r="A10" s="19" t="s">
        <v>19</v>
      </c>
      <c r="B10" s="20">
        <v>9</v>
      </c>
      <c r="C10" s="20">
        <v>7</v>
      </c>
      <c r="D10" s="21" t="s">
        <v>72</v>
      </c>
      <c r="E10" s="22">
        <v>12590.65</v>
      </c>
      <c r="F10" s="22">
        <v>11031.06</v>
      </c>
      <c r="G10" s="21" t="s">
        <v>73</v>
      </c>
      <c r="H10" s="22">
        <v>2623.0017</v>
      </c>
      <c r="I10" s="22">
        <v>2349.7925</v>
      </c>
      <c r="J10" s="21" t="s">
        <v>74</v>
      </c>
      <c r="K10" s="20">
        <v>8</v>
      </c>
      <c r="L10" s="23">
        <v>0.0112182564448976</v>
      </c>
    </row>
    <row r="11" spans="1:12" ht="18" customHeight="1">
      <c r="A11" s="13" t="s">
        <v>20</v>
      </c>
      <c r="B11" s="14">
        <v>6</v>
      </c>
      <c r="C11" s="14">
        <v>2</v>
      </c>
      <c r="D11" s="17" t="s">
        <v>75</v>
      </c>
      <c r="E11" s="16">
        <v>11204.78</v>
      </c>
      <c r="F11" s="16">
        <v>6651.49</v>
      </c>
      <c r="G11" s="17" t="s">
        <v>76</v>
      </c>
      <c r="H11" s="16">
        <v>2068.5811</v>
      </c>
      <c r="I11" s="16">
        <v>1253.3025</v>
      </c>
      <c r="J11" s="17" t="s">
        <v>77</v>
      </c>
      <c r="K11" s="14">
        <v>6</v>
      </c>
      <c r="L11" s="18">
        <v>0.008810969280233019</v>
      </c>
    </row>
    <row r="12" spans="1:12" ht="18" customHeight="1">
      <c r="A12" s="19" t="s">
        <v>21</v>
      </c>
      <c r="B12" s="20">
        <v>3</v>
      </c>
      <c r="C12" s="20">
        <v>7</v>
      </c>
      <c r="D12" s="24" t="s">
        <v>78</v>
      </c>
      <c r="E12" s="22">
        <v>5386.84</v>
      </c>
      <c r="F12" s="22">
        <v>18445.26</v>
      </c>
      <c r="G12" s="24" t="s">
        <v>79</v>
      </c>
      <c r="H12" s="22">
        <v>1271.117</v>
      </c>
      <c r="I12" s="22">
        <v>3859.6073</v>
      </c>
      <c r="J12" s="24" t="s">
        <v>80</v>
      </c>
      <c r="K12" s="20">
        <v>4</v>
      </c>
      <c r="L12" s="23">
        <v>0.00423682482384199</v>
      </c>
    </row>
    <row r="13" spans="1:12" ht="18" customHeight="1">
      <c r="A13" s="13" t="s">
        <v>81</v>
      </c>
      <c r="B13" s="14">
        <v>1</v>
      </c>
      <c r="C13" s="14">
        <v>1</v>
      </c>
      <c r="D13" s="17" t="s">
        <v>82</v>
      </c>
      <c r="E13" s="16">
        <v>4319.03</v>
      </c>
      <c r="F13" s="16">
        <v>1960.34</v>
      </c>
      <c r="G13" s="17" t="s">
        <v>83</v>
      </c>
      <c r="H13" s="16">
        <v>959.1587</v>
      </c>
      <c r="I13" s="16">
        <v>294.051</v>
      </c>
      <c r="J13" s="17" t="s">
        <v>84</v>
      </c>
      <c r="K13" s="14">
        <v>1</v>
      </c>
      <c r="L13" s="18">
        <v>0.0033969866142124</v>
      </c>
    </row>
    <row r="14" spans="1:12" ht="18" customHeight="1">
      <c r="A14" s="19" t="s">
        <v>85</v>
      </c>
      <c r="B14" s="20">
        <v>1</v>
      </c>
      <c r="C14" s="20">
        <v>2</v>
      </c>
      <c r="D14" s="24" t="s">
        <v>86</v>
      </c>
      <c r="E14" s="22">
        <v>1754.07</v>
      </c>
      <c r="F14" s="22">
        <v>8328.26</v>
      </c>
      <c r="G14" s="24" t="s">
        <v>87</v>
      </c>
      <c r="H14" s="22">
        <v>377.9262</v>
      </c>
      <c r="I14" s="22">
        <v>960.1016</v>
      </c>
      <c r="J14" s="24" t="s">
        <v>88</v>
      </c>
      <c r="K14" s="20">
        <v>2</v>
      </c>
      <c r="L14" s="23">
        <v>0.00137959503420499</v>
      </c>
    </row>
    <row r="15" spans="1:12" ht="18" customHeight="1">
      <c r="A15" s="13" t="s">
        <v>89</v>
      </c>
      <c r="B15" s="14">
        <v>1</v>
      </c>
      <c r="C15" s="14">
        <v>1</v>
      </c>
      <c r="D15" s="17" t="s">
        <v>82</v>
      </c>
      <c r="E15" s="16">
        <v>1751.86</v>
      </c>
      <c r="F15" s="16">
        <v>2901.16</v>
      </c>
      <c r="G15" s="15" t="s">
        <v>90</v>
      </c>
      <c r="H15" s="16">
        <v>297.8162</v>
      </c>
      <c r="I15" s="16">
        <v>290.116</v>
      </c>
      <c r="J15" s="17" t="s">
        <v>91</v>
      </c>
      <c r="K15" s="14">
        <v>3</v>
      </c>
      <c r="L15" s="18">
        <v>0.00137786642948257</v>
      </c>
    </row>
    <row r="16" spans="1:12" ht="18" customHeight="1">
      <c r="A16" s="19" t="s">
        <v>92</v>
      </c>
      <c r="B16" s="20">
        <v>1</v>
      </c>
      <c r="C16" s="20">
        <v>0</v>
      </c>
      <c r="D16" s="21" t="s">
        <v>69</v>
      </c>
      <c r="E16" s="22">
        <v>1670.6</v>
      </c>
      <c r="F16" s="22">
        <v>0</v>
      </c>
      <c r="G16" s="21" t="s">
        <v>69</v>
      </c>
      <c r="H16" s="22">
        <v>284.002</v>
      </c>
      <c r="I16" s="22">
        <v>0</v>
      </c>
      <c r="J16" s="21" t="s">
        <v>69</v>
      </c>
      <c r="K16" s="20">
        <v>1</v>
      </c>
      <c r="L16" s="23">
        <v>0.00131395932692703</v>
      </c>
    </row>
    <row r="17" spans="1:12" ht="18" customHeight="1">
      <c r="A17" s="13" t="s">
        <v>93</v>
      </c>
      <c r="B17" s="14">
        <v>1</v>
      </c>
      <c r="C17" s="14">
        <v>2</v>
      </c>
      <c r="D17" s="15" t="s">
        <v>86</v>
      </c>
      <c r="E17" s="16">
        <v>1227.2</v>
      </c>
      <c r="F17" s="16">
        <v>3225.64</v>
      </c>
      <c r="G17" s="15" t="s">
        <v>94</v>
      </c>
      <c r="H17" s="16">
        <v>306.8</v>
      </c>
      <c r="I17" s="16">
        <v>494.7756</v>
      </c>
      <c r="J17" s="15" t="s">
        <v>95</v>
      </c>
      <c r="K17" s="14">
        <v>1</v>
      </c>
      <c r="L17" s="18">
        <v>0.000965213324178955</v>
      </c>
    </row>
    <row r="18" spans="1:12" ht="18" customHeight="1">
      <c r="A18" s="19" t="s">
        <v>96</v>
      </c>
      <c r="B18" s="20">
        <v>1</v>
      </c>
      <c r="C18" s="20">
        <v>0</v>
      </c>
      <c r="D18" s="21" t="s">
        <v>69</v>
      </c>
      <c r="E18" s="22">
        <v>1062</v>
      </c>
      <c r="F18" s="22">
        <v>0</v>
      </c>
      <c r="G18" s="21" t="s">
        <v>69</v>
      </c>
      <c r="H18" s="22">
        <v>212.4</v>
      </c>
      <c r="I18" s="22">
        <v>0</v>
      </c>
      <c r="J18" s="21" t="s">
        <v>69</v>
      </c>
      <c r="K18" s="20">
        <v>0</v>
      </c>
      <c r="L18" s="23">
        <v>0.000777872125088635</v>
      </c>
    </row>
    <row r="19" spans="1:12" ht="18" customHeight="1">
      <c r="A19" s="13" t="s">
        <v>97</v>
      </c>
      <c r="B19" s="14">
        <v>2</v>
      </c>
      <c r="C19" s="14">
        <v>0</v>
      </c>
      <c r="D19" s="17" t="s">
        <v>69</v>
      </c>
      <c r="E19" s="16">
        <v>822.52</v>
      </c>
      <c r="F19" s="16">
        <v>0</v>
      </c>
      <c r="G19" s="17" t="s">
        <v>69</v>
      </c>
      <c r="H19" s="16">
        <v>164.504</v>
      </c>
      <c r="I19" s="16">
        <v>0</v>
      </c>
      <c r="J19" s="17" t="s">
        <v>69</v>
      </c>
      <c r="K19" s="14">
        <v>2</v>
      </c>
      <c r="L19" s="18">
        <v>0.0006469229927691</v>
      </c>
    </row>
    <row r="20" spans="1:12" ht="18" customHeight="1">
      <c r="A20" s="19" t="s">
        <v>98</v>
      </c>
      <c r="B20" s="20">
        <v>0</v>
      </c>
      <c r="C20" s="20">
        <v>1</v>
      </c>
      <c r="D20" s="24" t="s">
        <v>99</v>
      </c>
      <c r="E20" s="22">
        <v>0</v>
      </c>
      <c r="F20" s="22">
        <v>5088.54</v>
      </c>
      <c r="G20" s="24" t="s">
        <v>99</v>
      </c>
      <c r="H20" s="22">
        <v>0</v>
      </c>
      <c r="I20" s="22">
        <v>1272.135</v>
      </c>
      <c r="J20" s="24" t="s">
        <v>99</v>
      </c>
      <c r="K20" s="20">
        <v>0</v>
      </c>
      <c r="L20" s="23">
        <v>0</v>
      </c>
    </row>
    <row r="21" spans="1:12" ht="18" customHeight="1">
      <c r="A21" s="13" t="s">
        <v>100</v>
      </c>
      <c r="B21" s="14">
        <v>0</v>
      </c>
      <c r="C21" s="14">
        <v>6</v>
      </c>
      <c r="D21" s="15" t="s">
        <v>99</v>
      </c>
      <c r="E21" s="16">
        <v>0</v>
      </c>
      <c r="F21" s="16">
        <v>511808.28</v>
      </c>
      <c r="G21" s="15" t="s">
        <v>99</v>
      </c>
      <c r="H21" s="16">
        <v>0</v>
      </c>
      <c r="I21" s="16">
        <v>51.180828</v>
      </c>
      <c r="J21" s="15" t="s">
        <v>99</v>
      </c>
      <c r="K21" s="14">
        <v>0</v>
      </c>
      <c r="L21" s="18">
        <v>0</v>
      </c>
    </row>
    <row r="22" spans="1:12" ht="18" customHeight="1">
      <c r="A22" s="25" t="s">
        <v>101</v>
      </c>
      <c r="B22" s="5">
        <v>128</v>
      </c>
      <c r="C22" s="5">
        <v>110</v>
      </c>
      <c r="D22" s="5" t="s">
        <v>102</v>
      </c>
      <c r="E22" s="26">
        <v>1344858.82</v>
      </c>
      <c r="F22" s="26">
        <v>1707415.39</v>
      </c>
      <c r="G22" s="5" t="s">
        <v>103</v>
      </c>
      <c r="H22" s="26">
        <v>56814.666105</v>
      </c>
      <c r="I22" s="26">
        <v>47217.313262</v>
      </c>
      <c r="J22" s="5" t="s">
        <v>104</v>
      </c>
      <c r="K22" s="5">
        <v>128</v>
      </c>
      <c r="L22" s="27">
        <v>1</v>
      </c>
    </row>
  </sheetData>
  <mergeCells count="1">
    <mergeCell ref="A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"/>
  <sheetViews>
    <sheetView showGridLines="0" zoomScale="90" zoomScaleNormal="90" workbookViewId="0"/>
  </sheetViews>
  <sheetFormatPr defaultRowHeight="15"/>
  <cols>
    <col min="1" max="1" width="32.7109375" customWidth="1"/>
    <col min="2" max="3" width="9.7109375" customWidth="1"/>
    <col min="4" max="4" width="10.7109375" customWidth="1"/>
    <col min="5" max="6" width="16.7109375" customWidth="1"/>
    <col min="7" max="7" width="11.7109375" customWidth="1"/>
    <col min="8" max="9" width="14.7109375" customWidth="1"/>
    <col min="10" max="10" width="13.7109375" customWidth="1"/>
    <col min="11" max="12" width="7.7109375" customWidth="1"/>
  </cols>
  <sheetData>
    <row r="1" spans="1:12" ht="6" customHeight="1"/>
    <row r="2" spans="1:12" ht="38" customHeight="1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6" customHeight="1"/>
    <row r="4" spans="1:12" ht="22" customHeight="1">
      <c r="A4" s="11" t="s">
        <v>46</v>
      </c>
      <c r="B4" s="12" t="s">
        <v>3</v>
      </c>
      <c r="C4" s="12" t="s">
        <v>47</v>
      </c>
      <c r="D4" s="12" t="s">
        <v>48</v>
      </c>
      <c r="E4" s="12" t="s">
        <v>49</v>
      </c>
      <c r="F4" s="12" t="s">
        <v>50</v>
      </c>
      <c r="G4" s="12" t="s">
        <v>51</v>
      </c>
      <c r="H4" s="12" t="s">
        <v>7</v>
      </c>
      <c r="I4" s="12" t="s">
        <v>52</v>
      </c>
      <c r="J4" s="12" t="s">
        <v>53</v>
      </c>
      <c r="K4" s="12" t="s">
        <v>9</v>
      </c>
      <c r="L4" s="12" t="s">
        <v>54</v>
      </c>
    </row>
    <row r="5" spans="1:12" ht="18" customHeight="1">
      <c r="A5" s="13" t="s">
        <v>24</v>
      </c>
      <c r="B5" s="14">
        <v>0</v>
      </c>
      <c r="C5" s="14">
        <v>0</v>
      </c>
      <c r="D5" s="17" t="s">
        <v>82</v>
      </c>
      <c r="E5" s="16">
        <v>1088051.63</v>
      </c>
      <c r="F5" s="16">
        <v>979956.84</v>
      </c>
      <c r="G5" s="17" t="s">
        <v>106</v>
      </c>
      <c r="H5" s="16">
        <v>6747.387225</v>
      </c>
      <c r="I5" s="16">
        <v>3637.3921</v>
      </c>
      <c r="J5" s="17" t="s">
        <v>107</v>
      </c>
      <c r="K5" s="14">
        <v>8</v>
      </c>
      <c r="L5" s="18">
        <v>0.796953892310973</v>
      </c>
    </row>
    <row r="6" spans="1:12" ht="18" customHeight="1">
      <c r="A6" s="19" t="s">
        <v>25</v>
      </c>
      <c r="B6" s="20">
        <v>103</v>
      </c>
      <c r="C6" s="20">
        <v>76</v>
      </c>
      <c r="D6" s="21" t="s">
        <v>108</v>
      </c>
      <c r="E6" s="22">
        <v>235704.63</v>
      </c>
      <c r="F6" s="22">
        <v>198577.8</v>
      </c>
      <c r="G6" s="21" t="s">
        <v>109</v>
      </c>
      <c r="H6" s="22">
        <v>45951.40598</v>
      </c>
      <c r="I6" s="22">
        <v>39489.874334</v>
      </c>
      <c r="J6" s="21" t="s">
        <v>102</v>
      </c>
      <c r="K6" s="20">
        <v>105</v>
      </c>
      <c r="L6" s="23">
        <v>0.186742567160835</v>
      </c>
    </row>
    <row r="7" spans="1:12" ht="18" customHeight="1">
      <c r="A7" s="13" t="s">
        <v>26</v>
      </c>
      <c r="B7" s="14">
        <v>0</v>
      </c>
      <c r="C7" s="14">
        <v>1</v>
      </c>
      <c r="D7" s="15" t="s">
        <v>99</v>
      </c>
      <c r="E7" s="16">
        <v>6729.13</v>
      </c>
      <c r="F7" s="16">
        <v>5099.3</v>
      </c>
      <c r="G7" s="17" t="s">
        <v>110</v>
      </c>
      <c r="H7" s="16">
        <v>1682.2825</v>
      </c>
      <c r="I7" s="16">
        <v>1529.79</v>
      </c>
      <c r="J7" s="17" t="s">
        <v>111</v>
      </c>
      <c r="K7" s="14">
        <v>0</v>
      </c>
      <c r="L7" s="18">
        <v>0.00529256283346323</v>
      </c>
    </row>
    <row r="8" spans="1:12" ht="18" customHeight="1">
      <c r="A8" s="19" t="s">
        <v>27</v>
      </c>
      <c r="B8" s="20">
        <v>11</v>
      </c>
      <c r="C8" s="20">
        <v>8</v>
      </c>
      <c r="D8" s="21" t="s">
        <v>112</v>
      </c>
      <c r="E8" s="22">
        <v>5753.65</v>
      </c>
      <c r="F8" s="22">
        <v>4067.7</v>
      </c>
      <c r="G8" s="21" t="s">
        <v>113</v>
      </c>
      <c r="H8" s="22">
        <v>901.5549999999999</v>
      </c>
      <c r="I8" s="22">
        <v>562.9875</v>
      </c>
      <c r="J8" s="21" t="s">
        <v>114</v>
      </c>
      <c r="K8" s="20">
        <v>1</v>
      </c>
      <c r="L8" s="23">
        <v>0.00423324309626037</v>
      </c>
    </row>
    <row r="9" spans="1:12" ht="18" customHeight="1">
      <c r="A9" s="13" t="s">
        <v>28</v>
      </c>
      <c r="B9" s="14">
        <v>1</v>
      </c>
      <c r="C9" s="14">
        <v>2</v>
      </c>
      <c r="D9" s="15" t="s">
        <v>86</v>
      </c>
      <c r="E9" s="16">
        <v>3528.92</v>
      </c>
      <c r="F9" s="16">
        <v>4161.7</v>
      </c>
      <c r="G9" s="15" t="s">
        <v>115</v>
      </c>
      <c r="H9" s="16">
        <v>599.9164</v>
      </c>
      <c r="I9" s="16">
        <v>738.7773999999999</v>
      </c>
      <c r="J9" s="15" t="s">
        <v>116</v>
      </c>
      <c r="K9" s="14">
        <v>0</v>
      </c>
      <c r="L9" s="18">
        <v>0.0027755532165027</v>
      </c>
    </row>
    <row r="10" spans="1:12" ht="18" customHeight="1">
      <c r="A10" s="19" t="s">
        <v>29</v>
      </c>
      <c r="B10" s="20">
        <v>10</v>
      </c>
      <c r="C10" s="20">
        <v>6</v>
      </c>
      <c r="D10" s="21" t="s">
        <v>117</v>
      </c>
      <c r="E10" s="22">
        <v>2654.7</v>
      </c>
      <c r="F10" s="22">
        <v>1447.23</v>
      </c>
      <c r="G10" s="21" t="s">
        <v>118</v>
      </c>
      <c r="H10" s="22">
        <v>520.924</v>
      </c>
      <c r="I10" s="22">
        <v>372.1606</v>
      </c>
      <c r="J10" s="21" t="s">
        <v>119</v>
      </c>
      <c r="K10" s="20">
        <v>11</v>
      </c>
      <c r="L10" s="23">
        <v>0.00209169228468631</v>
      </c>
    </row>
    <row r="11" spans="1:12" ht="18" customHeight="1">
      <c r="A11" s="13" t="s">
        <v>30</v>
      </c>
      <c r="B11" s="14">
        <v>2</v>
      </c>
      <c r="C11" s="14">
        <v>0</v>
      </c>
      <c r="D11" s="17" t="s">
        <v>69</v>
      </c>
      <c r="E11" s="16">
        <v>2266.3</v>
      </c>
      <c r="F11" s="16">
        <v>0</v>
      </c>
      <c r="G11" s="17" t="s">
        <v>69</v>
      </c>
      <c r="H11" s="16">
        <v>394.209</v>
      </c>
      <c r="I11" s="16">
        <v>0</v>
      </c>
      <c r="J11" s="17" t="s">
        <v>69</v>
      </c>
      <c r="K11" s="14">
        <v>1</v>
      </c>
      <c r="L11" s="18">
        <v>0.00178560473068133</v>
      </c>
    </row>
    <row r="12" spans="1:12" ht="18" customHeight="1">
      <c r="A12" s="19" t="s">
        <v>31</v>
      </c>
      <c r="B12" s="20">
        <v>1</v>
      </c>
      <c r="C12" s="20">
        <v>7</v>
      </c>
      <c r="D12" s="24" t="s">
        <v>120</v>
      </c>
      <c r="E12" s="22">
        <v>169.86</v>
      </c>
      <c r="F12" s="22">
        <v>1276.68</v>
      </c>
      <c r="G12" s="24" t="s">
        <v>121</v>
      </c>
      <c r="H12" s="22">
        <v>16.986</v>
      </c>
      <c r="I12" s="22">
        <v>446.9875</v>
      </c>
      <c r="J12" s="24" t="s">
        <v>122</v>
      </c>
      <c r="K12" s="20">
        <v>1</v>
      </c>
      <c r="L12" s="23">
        <v>0.000124884366598505</v>
      </c>
    </row>
    <row r="13" spans="1:12" ht="18" customHeight="1">
      <c r="A13" s="13" t="s">
        <v>32</v>
      </c>
      <c r="B13" s="14">
        <v>0</v>
      </c>
      <c r="C13" s="14">
        <v>2</v>
      </c>
      <c r="D13" s="15" t="s">
        <v>99</v>
      </c>
      <c r="E13" s="16">
        <v>0</v>
      </c>
      <c r="F13" s="16">
        <v>632.8</v>
      </c>
      <c r="G13" s="15" t="s">
        <v>99</v>
      </c>
      <c r="H13" s="16">
        <v>0</v>
      </c>
      <c r="I13" s="16">
        <v>233.339</v>
      </c>
      <c r="J13" s="15" t="s">
        <v>99</v>
      </c>
      <c r="K13" s="14">
        <v>0</v>
      </c>
      <c r="L13" s="18">
        <v>0</v>
      </c>
    </row>
    <row r="14" spans="1:12" ht="18" customHeight="1">
      <c r="A14" s="19" t="s">
        <v>33</v>
      </c>
      <c r="B14" s="20">
        <v>0</v>
      </c>
      <c r="C14" s="20">
        <v>2</v>
      </c>
      <c r="D14" s="24" t="s">
        <v>99</v>
      </c>
      <c r="E14" s="22">
        <v>0</v>
      </c>
      <c r="F14" s="22">
        <v>387.06</v>
      </c>
      <c r="G14" s="24" t="s">
        <v>99</v>
      </c>
      <c r="H14" s="22">
        <v>0</v>
      </c>
      <c r="I14" s="22">
        <v>154.824</v>
      </c>
      <c r="J14" s="24" t="s">
        <v>99</v>
      </c>
      <c r="K14" s="20">
        <v>0</v>
      </c>
      <c r="L14" s="23">
        <v>0</v>
      </c>
    </row>
    <row r="15" spans="1:12" ht="18" customHeight="1">
      <c r="A15" s="13" t="s">
        <v>34</v>
      </c>
      <c r="B15" s="14">
        <v>0</v>
      </c>
      <c r="C15" s="14">
        <v>6</v>
      </c>
      <c r="D15" s="15" t="s">
        <v>99</v>
      </c>
      <c r="E15" s="16">
        <v>0</v>
      </c>
      <c r="F15" s="16">
        <v>511808.28</v>
      </c>
      <c r="G15" s="15" t="s">
        <v>99</v>
      </c>
      <c r="H15" s="16">
        <v>0</v>
      </c>
      <c r="I15" s="16">
        <v>51.180828</v>
      </c>
      <c r="J15" s="15" t="s">
        <v>99</v>
      </c>
      <c r="K15" s="14">
        <v>0</v>
      </c>
      <c r="L15" s="18">
        <v>0</v>
      </c>
    </row>
    <row r="16" spans="1:12" ht="18" customHeight="1">
      <c r="A16" s="25" t="s">
        <v>101</v>
      </c>
      <c r="B16" s="5">
        <v>128</v>
      </c>
      <c r="C16" s="5">
        <v>110</v>
      </c>
      <c r="D16" s="5" t="s">
        <v>102</v>
      </c>
      <c r="E16" s="26">
        <v>1344858.82</v>
      </c>
      <c r="F16" s="26">
        <v>1707415.39</v>
      </c>
      <c r="G16" s="5" t="s">
        <v>103</v>
      </c>
      <c r="H16" s="26">
        <v>56814.666105</v>
      </c>
      <c r="I16" s="26">
        <v>47217.313262</v>
      </c>
      <c r="J16" s="5" t="s">
        <v>104</v>
      </c>
      <c r="K16" s="5">
        <v>127</v>
      </c>
      <c r="L16" s="27">
        <v>1</v>
      </c>
    </row>
  </sheetData>
  <mergeCells count="1"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8"/>
  <sheetViews>
    <sheetView showGridLines="0" zoomScale="90" zoomScaleNormal="90" workbookViewId="0"/>
  </sheetViews>
  <sheetFormatPr defaultRowHeight="15"/>
  <cols>
    <col min="1" max="1" width="32.7109375" customWidth="1"/>
    <col min="2" max="3" width="9.7109375" customWidth="1"/>
    <col min="4" max="4" width="10.7109375" customWidth="1"/>
    <col min="5" max="6" width="16.7109375" customWidth="1"/>
    <col min="7" max="7" width="11.7109375" customWidth="1"/>
    <col min="8" max="9" width="14.7109375" customWidth="1"/>
    <col min="10" max="10" width="13.7109375" customWidth="1"/>
    <col min="11" max="12" width="7.7109375" customWidth="1"/>
  </cols>
  <sheetData>
    <row r="1" spans="1:12" ht="6" customHeight="1"/>
    <row r="2" spans="1:12" ht="38" customHeight="1">
      <c r="A2" s="2" t="s">
        <v>123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6" customHeight="1"/>
    <row r="4" spans="1:12" ht="22" customHeight="1">
      <c r="A4" s="11" t="s">
        <v>46</v>
      </c>
      <c r="B4" s="12" t="s">
        <v>3</v>
      </c>
      <c r="C4" s="12" t="s">
        <v>47</v>
      </c>
      <c r="D4" s="12" t="s">
        <v>48</v>
      </c>
      <c r="E4" s="12" t="s">
        <v>49</v>
      </c>
      <c r="F4" s="12" t="s">
        <v>50</v>
      </c>
      <c r="G4" s="12" t="s">
        <v>51</v>
      </c>
      <c r="H4" s="12" t="s">
        <v>7</v>
      </c>
      <c r="I4" s="12" t="s">
        <v>52</v>
      </c>
      <c r="J4" s="12" t="s">
        <v>53</v>
      </c>
      <c r="K4" s="12" t="s">
        <v>9</v>
      </c>
      <c r="L4" s="12" t="s">
        <v>54</v>
      </c>
    </row>
    <row r="5" spans="1:12" ht="18" customHeight="1">
      <c r="A5" s="13" t="s">
        <v>0</v>
      </c>
      <c r="B5" s="14">
        <v>5</v>
      </c>
      <c r="C5" s="14">
        <v>1</v>
      </c>
      <c r="D5" s="17" t="s">
        <v>124</v>
      </c>
      <c r="E5" s="16">
        <v>1091811.31</v>
      </c>
      <c r="F5" s="16">
        <v>770904.8199999999</v>
      </c>
      <c r="G5" s="17" t="s">
        <v>125</v>
      </c>
      <c r="H5" s="16">
        <v>6764.571225</v>
      </c>
      <c r="I5" s="16">
        <v>3171.217175</v>
      </c>
      <c r="J5" s="17" t="s">
        <v>126</v>
      </c>
      <c r="K5" s="14">
        <v>2</v>
      </c>
      <c r="L5" s="18">
        <v>0.799846609769593</v>
      </c>
    </row>
    <row r="6" spans="1:12" ht="18" customHeight="1">
      <c r="A6" s="19" t="s">
        <v>37</v>
      </c>
      <c r="B6" s="20">
        <v>72</v>
      </c>
      <c r="C6" s="20">
        <v>41</v>
      </c>
      <c r="D6" s="21" t="s">
        <v>127</v>
      </c>
      <c r="E6" s="22">
        <v>156868.91</v>
      </c>
      <c r="F6" s="22">
        <v>100180.82</v>
      </c>
      <c r="G6" s="21" t="s">
        <v>128</v>
      </c>
      <c r="H6" s="22">
        <v>30544.25748</v>
      </c>
      <c r="I6" s="22">
        <v>20891.087786</v>
      </c>
      <c r="J6" s="21" t="s">
        <v>129</v>
      </c>
      <c r="K6" s="20">
        <v>57</v>
      </c>
      <c r="L6" s="23">
        <v>0.124395295980197</v>
      </c>
    </row>
    <row r="7" spans="1:12" ht="18" customHeight="1">
      <c r="A7" s="13" t="s">
        <v>38</v>
      </c>
      <c r="B7" s="14">
        <v>28</v>
      </c>
      <c r="C7" s="14">
        <v>0</v>
      </c>
      <c r="D7" s="17" t="s">
        <v>69</v>
      </c>
      <c r="E7" s="16">
        <v>50007.28</v>
      </c>
      <c r="F7" s="16">
        <v>0</v>
      </c>
      <c r="G7" s="17" t="s">
        <v>69</v>
      </c>
      <c r="H7" s="16">
        <v>10169.0637</v>
      </c>
      <c r="I7" s="16">
        <v>0</v>
      </c>
      <c r="J7" s="17" t="s">
        <v>69</v>
      </c>
      <c r="K7" s="14">
        <v>31</v>
      </c>
      <c r="L7" s="18">
        <v>0.0394121949957538</v>
      </c>
    </row>
    <row r="8" spans="1:12" ht="18" customHeight="1">
      <c r="A8" s="19" t="s">
        <v>39</v>
      </c>
      <c r="B8" s="20">
        <v>12</v>
      </c>
      <c r="C8" s="20">
        <v>0</v>
      </c>
      <c r="D8" s="21" t="s">
        <v>69</v>
      </c>
      <c r="E8" s="22">
        <v>27427.26</v>
      </c>
      <c r="F8" s="22">
        <v>0</v>
      </c>
      <c r="G8" s="21" t="s">
        <v>69</v>
      </c>
      <c r="H8" s="22">
        <v>5499.7195</v>
      </c>
      <c r="I8" s="22">
        <v>0</v>
      </c>
      <c r="J8" s="21" t="s">
        <v>69</v>
      </c>
      <c r="K8" s="20">
        <v>7</v>
      </c>
      <c r="L8" s="23">
        <v>0.0215708701274661</v>
      </c>
    </row>
    <row r="9" spans="1:12" ht="18" customHeight="1">
      <c r="A9" s="13" t="s">
        <v>40</v>
      </c>
      <c r="B9" s="14">
        <v>10</v>
      </c>
      <c r="C9" s="14">
        <v>0</v>
      </c>
      <c r="D9" s="17" t="s">
        <v>69</v>
      </c>
      <c r="E9" s="16">
        <v>18231.63</v>
      </c>
      <c r="F9" s="16">
        <v>0</v>
      </c>
      <c r="G9" s="17" t="s">
        <v>69</v>
      </c>
      <c r="H9" s="16">
        <v>3802.8226</v>
      </c>
      <c r="I9" s="16">
        <v>0</v>
      </c>
      <c r="J9" s="17" t="s">
        <v>69</v>
      </c>
      <c r="K9" s="14">
        <v>15</v>
      </c>
      <c r="L9" s="18">
        <v>0.0143393548155734</v>
      </c>
    </row>
    <row r="10" spans="1:12" ht="18" customHeight="1">
      <c r="A10" s="19" t="s">
        <v>41</v>
      </c>
      <c r="B10" s="20">
        <v>1</v>
      </c>
      <c r="C10" s="20">
        <v>0</v>
      </c>
      <c r="D10" s="21" t="s">
        <v>69</v>
      </c>
      <c r="E10" s="22">
        <v>291.72</v>
      </c>
      <c r="F10" s="22">
        <v>209142.77</v>
      </c>
      <c r="G10" s="24" t="s">
        <v>130</v>
      </c>
      <c r="H10" s="22">
        <v>49.5924</v>
      </c>
      <c r="I10" s="22">
        <v>522.856925</v>
      </c>
      <c r="J10" s="24" t="s">
        <v>131</v>
      </c>
      <c r="K10" s="20">
        <v>1</v>
      </c>
      <c r="L10" s="23">
        <v>0.000233178522619555</v>
      </c>
    </row>
    <row r="11" spans="1:12" ht="18" customHeight="1">
      <c r="A11" s="13" t="s">
        <v>132</v>
      </c>
      <c r="B11" s="14">
        <v>0</v>
      </c>
      <c r="C11" s="14">
        <v>8</v>
      </c>
      <c r="D11" s="15" t="s">
        <v>99</v>
      </c>
      <c r="E11" s="16">
        <v>220.71</v>
      </c>
      <c r="F11" s="16">
        <v>1505.05</v>
      </c>
      <c r="G11" s="15" t="s">
        <v>133</v>
      </c>
      <c r="H11" s="16">
        <v>-15.3608</v>
      </c>
      <c r="I11" s="16">
        <v>538.3355</v>
      </c>
      <c r="J11" s="15" t="s">
        <v>134</v>
      </c>
      <c r="K11" s="14">
        <v>1</v>
      </c>
      <c r="L11" s="18">
        <v>0.000202495788796614</v>
      </c>
    </row>
    <row r="12" spans="1:12" ht="18" customHeight="1">
      <c r="A12" s="19" t="s">
        <v>135</v>
      </c>
      <c r="B12" s="20">
        <v>0</v>
      </c>
      <c r="C12" s="20">
        <v>0</v>
      </c>
      <c r="D12" s="21" t="s">
        <v>82</v>
      </c>
      <c r="E12" s="22">
        <v>0</v>
      </c>
      <c r="F12" s="22">
        <v>3266.28</v>
      </c>
      <c r="G12" s="24" t="s">
        <v>99</v>
      </c>
      <c r="H12" s="22">
        <v>0</v>
      </c>
      <c r="I12" s="22">
        <v>712.1112000000001</v>
      </c>
      <c r="J12" s="24" t="s">
        <v>99</v>
      </c>
      <c r="K12" s="20">
        <v>0</v>
      </c>
      <c r="L12" s="23">
        <v>0</v>
      </c>
    </row>
    <row r="13" spans="1:12" ht="18" customHeight="1">
      <c r="A13" s="13" t="s">
        <v>136</v>
      </c>
      <c r="B13" s="14">
        <v>0</v>
      </c>
      <c r="C13" s="14">
        <v>51</v>
      </c>
      <c r="D13" s="15" t="s">
        <v>99</v>
      </c>
      <c r="E13" s="16">
        <v>0</v>
      </c>
      <c r="F13" s="16">
        <v>107741.98</v>
      </c>
      <c r="G13" s="15" t="s">
        <v>99</v>
      </c>
      <c r="H13" s="16">
        <v>0</v>
      </c>
      <c r="I13" s="16">
        <v>20576.028348</v>
      </c>
      <c r="J13" s="15" t="s">
        <v>99</v>
      </c>
      <c r="K13" s="14">
        <v>0</v>
      </c>
      <c r="L13" s="18">
        <v>0</v>
      </c>
    </row>
    <row r="14" spans="1:12" ht="18" customHeight="1">
      <c r="A14" s="19" t="s">
        <v>137</v>
      </c>
      <c r="B14" s="20">
        <v>0</v>
      </c>
      <c r="C14" s="20">
        <v>3</v>
      </c>
      <c r="D14" s="24" t="s">
        <v>99</v>
      </c>
      <c r="E14" s="22">
        <v>0</v>
      </c>
      <c r="F14" s="22">
        <v>2865.39</v>
      </c>
      <c r="G14" s="24" t="s">
        <v>99</v>
      </c>
      <c r="H14" s="22">
        <v>0</v>
      </c>
      <c r="I14" s="22">
        <v>754.4955</v>
      </c>
      <c r="J14" s="24" t="s">
        <v>99</v>
      </c>
      <c r="K14" s="20">
        <v>0</v>
      </c>
      <c r="L14" s="23">
        <v>0</v>
      </c>
    </row>
    <row r="15" spans="1:12" ht="18" customHeight="1">
      <c r="A15" s="13" t="s">
        <v>138</v>
      </c>
      <c r="B15" s="14">
        <v>0</v>
      </c>
      <c r="C15" s="14">
        <v>4</v>
      </c>
      <c r="D15" s="15" t="s">
        <v>99</v>
      </c>
      <c r="E15" s="16">
        <v>0</v>
      </c>
      <c r="F15" s="16">
        <v>268326.28</v>
      </c>
      <c r="G15" s="15" t="s">
        <v>99</v>
      </c>
      <c r="H15" s="16">
        <v>0</v>
      </c>
      <c r="I15" s="16">
        <v>26.832628</v>
      </c>
      <c r="J15" s="15" t="s">
        <v>99</v>
      </c>
      <c r="K15" s="14">
        <v>0</v>
      </c>
      <c r="L15" s="18">
        <v>0</v>
      </c>
    </row>
    <row r="16" spans="1:12" ht="18" customHeight="1">
      <c r="A16" s="19" t="s">
        <v>139</v>
      </c>
      <c r="B16" s="20">
        <v>0</v>
      </c>
      <c r="C16" s="20">
        <v>1</v>
      </c>
      <c r="D16" s="24" t="s">
        <v>99</v>
      </c>
      <c r="E16" s="22">
        <v>0</v>
      </c>
      <c r="F16" s="22">
        <v>51020</v>
      </c>
      <c r="G16" s="24" t="s">
        <v>99</v>
      </c>
      <c r="H16" s="22">
        <v>0</v>
      </c>
      <c r="I16" s="22">
        <v>5.102</v>
      </c>
      <c r="J16" s="24" t="s">
        <v>99</v>
      </c>
      <c r="K16" s="20">
        <v>0</v>
      </c>
      <c r="L16" s="23">
        <v>0</v>
      </c>
    </row>
    <row r="17" spans="1:12" ht="18" customHeight="1">
      <c r="A17" s="13" t="s">
        <v>140</v>
      </c>
      <c r="B17" s="14">
        <v>0</v>
      </c>
      <c r="C17" s="14">
        <v>1</v>
      </c>
      <c r="D17" s="15" t="s">
        <v>99</v>
      </c>
      <c r="E17" s="16">
        <v>0</v>
      </c>
      <c r="F17" s="16">
        <v>192462</v>
      </c>
      <c r="G17" s="15" t="s">
        <v>99</v>
      </c>
      <c r="H17" s="16">
        <v>0</v>
      </c>
      <c r="I17" s="16">
        <v>19.2462</v>
      </c>
      <c r="J17" s="15" t="s">
        <v>99</v>
      </c>
      <c r="K17" s="14">
        <v>0</v>
      </c>
      <c r="L17" s="18">
        <v>0</v>
      </c>
    </row>
    <row r="18" spans="1:12" ht="18" customHeight="1">
      <c r="A18" s="25" t="s">
        <v>101</v>
      </c>
      <c r="B18" s="5">
        <v>128</v>
      </c>
      <c r="C18" s="5">
        <v>110</v>
      </c>
      <c r="D18" s="5" t="s">
        <v>102</v>
      </c>
      <c r="E18" s="26">
        <v>1344858.82</v>
      </c>
      <c r="F18" s="26">
        <v>1707415.39</v>
      </c>
      <c r="G18" s="5" t="s">
        <v>103</v>
      </c>
      <c r="H18" s="26">
        <v>56814.666105</v>
      </c>
      <c r="I18" s="26">
        <v>47217.313262</v>
      </c>
      <c r="J18" s="5" t="s">
        <v>104</v>
      </c>
      <c r="K18" s="5">
        <v>114</v>
      </c>
      <c r="L18" s="27">
        <v>1</v>
      </c>
    </row>
  </sheetData>
  <mergeCells count="1"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POR SEGURADORA</vt:lpstr>
      <vt:lpstr>POR RAMO</vt:lpstr>
      <vt:lpstr>POR VENDEDOR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2026-03-09T05:29:30Z</dcterms:created>
  <dcterms:modified xsi:type="dcterms:W3CDTF">2026-03-09T05:29:30Z</dcterms:modified>
</cp:coreProperties>
</file>